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tonizito/Downloads/"/>
    </mc:Choice>
  </mc:AlternateContent>
  <xr:revisionPtr revIDLastSave="0" documentId="13_ncr:1_{E230DE6E-7C3A-2540-B407-D072262B325B}" xr6:coauthVersionLast="47" xr6:coauthVersionMax="47" xr10:uidLastSave="{00000000-0000-0000-0000-000000000000}"/>
  <bookViews>
    <workbookView xWindow="0" yWindow="680" windowWidth="34200" windowHeight="19640" xr2:uid="{00000000-000D-0000-FFFF-FFFF00000000}"/>
  </bookViews>
  <sheets>
    <sheet name="FMA Order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L40" i="1"/>
  <c r="M40" i="1" s="1"/>
  <c r="I40" i="1"/>
  <c r="L39" i="1"/>
  <c r="M39" i="1" s="1"/>
  <c r="I39" i="1"/>
  <c r="L38" i="1"/>
  <c r="M38" i="1" s="1"/>
  <c r="I38" i="1"/>
  <c r="L37" i="1"/>
  <c r="M37" i="1" s="1"/>
  <c r="I37" i="1"/>
  <c r="L36" i="1"/>
  <c r="M36" i="1" s="1"/>
  <c r="I36" i="1"/>
  <c r="L35" i="1"/>
  <c r="M35" i="1" s="1"/>
  <c r="I35" i="1"/>
  <c r="L34" i="1"/>
  <c r="M34" i="1" s="1"/>
  <c r="I34" i="1"/>
  <c r="L33" i="1"/>
  <c r="M33" i="1" s="1"/>
  <c r="I33" i="1"/>
  <c r="L32" i="1"/>
  <c r="M32" i="1" s="1"/>
  <c r="I32" i="1"/>
  <c r="L31" i="1"/>
  <c r="M31" i="1" s="1"/>
  <c r="I31" i="1"/>
  <c r="L30" i="1"/>
  <c r="M30" i="1" s="1"/>
  <c r="I30" i="1"/>
  <c r="L29" i="1"/>
  <c r="M29" i="1" s="1"/>
  <c r="I29" i="1"/>
  <c r="L28" i="1"/>
  <c r="M28" i="1" s="1"/>
  <c r="I28" i="1"/>
  <c r="L27" i="1"/>
  <c r="M27" i="1" s="1"/>
  <c r="I27" i="1"/>
  <c r="L26" i="1"/>
  <c r="M26" i="1" s="1"/>
  <c r="I26" i="1"/>
  <c r="L25" i="1"/>
  <c r="M25" i="1" s="1"/>
  <c r="I25" i="1"/>
  <c r="L24" i="1"/>
  <c r="M24" i="1" s="1"/>
  <c r="I24" i="1"/>
  <c r="L23" i="1"/>
  <c r="M23" i="1" s="1"/>
  <c r="I23" i="1"/>
  <c r="L22" i="1"/>
  <c r="M22" i="1" s="1"/>
  <c r="I22" i="1"/>
  <c r="L21" i="1"/>
  <c r="M21" i="1" s="1"/>
  <c r="I21" i="1"/>
  <c r="L20" i="1"/>
  <c r="M20" i="1" s="1"/>
  <c r="I20" i="1"/>
  <c r="L19" i="1"/>
  <c r="M19" i="1" s="1"/>
  <c r="I19" i="1"/>
  <c r="M18" i="1"/>
  <c r="L18" i="1"/>
  <c r="I18" i="1"/>
  <c r="L17" i="1"/>
  <c r="M17" i="1" s="1"/>
  <c r="I17" i="1"/>
  <c r="L16" i="1"/>
  <c r="M16" i="1" s="1"/>
  <c r="I16" i="1"/>
  <c r="L15" i="1"/>
  <c r="M15" i="1" s="1"/>
  <c r="I15" i="1"/>
  <c r="L14" i="1"/>
  <c r="M14" i="1" s="1"/>
  <c r="I14" i="1"/>
  <c r="L13" i="1"/>
  <c r="M13" i="1" s="1"/>
  <c r="I13" i="1"/>
  <c r="L12" i="1"/>
  <c r="M12" i="1" s="1"/>
  <c r="I12" i="1"/>
  <c r="L11" i="1"/>
  <c r="M11" i="1" s="1"/>
  <c r="I11" i="1"/>
  <c r="L10" i="1"/>
  <c r="I10" i="1"/>
  <c r="M10" i="1" l="1"/>
  <c r="M42" i="1" s="1"/>
  <c r="L42" i="1"/>
</calcChain>
</file>

<file path=xl/sharedStrings.xml><?xml version="1.0" encoding="utf-8"?>
<sst xmlns="http://schemas.openxmlformats.org/spreadsheetml/2006/main" count="186" uniqueCount="131">
  <si>
    <t>TERRA NOVA  |  FMA PRODUCTS ORDER FORM</t>
  </si>
  <si>
    <t>Sports - Casual - Home   •   Canadian Tire Dealer Program   •   terranova.tonyz@gmail.com</t>
  </si>
  <si>
    <t>DEALER / STORE</t>
  </si>
  <si>
    <t>PO / REFERENCE</t>
  </si>
  <si>
    <t>CONTACT</t>
  </si>
  <si>
    <t>EMAIL</t>
  </si>
  <si>
    <t>DATE</t>
  </si>
  <si>
    <t>PHONE</t>
  </si>
  <si>
    <t>Slide</t>
  </si>
  <si>
    <t>Category</t>
  </si>
  <si>
    <t>Product</t>
  </si>
  <si>
    <t>Style / Variant</t>
  </si>
  <si>
    <t>CT SKU</t>
  </si>
  <si>
    <t>UPC</t>
  </si>
  <si>
    <t>Dealer Price</t>
  </si>
  <si>
    <t>Suggested Retail</t>
  </si>
  <si>
    <t>Dealer Margin</t>
  </si>
  <si>
    <t>Case Pack</t>
  </si>
  <si>
    <t>Order Qty (Cases)</t>
  </si>
  <si>
    <t>Units</t>
  </si>
  <si>
    <t>Extended Dealer $</t>
  </si>
  <si>
    <t>Notes</t>
  </si>
  <si>
    <t>Men's Apparel</t>
  </si>
  <si>
    <t>Northern Trek Men's Sweaters</t>
  </si>
  <si>
    <t>Assorted 10 styles</t>
  </si>
  <si>
    <t>6872209</t>
  </si>
  <si>
    <t>Men's Shorts</t>
  </si>
  <si>
    <t>Hydro-Dry 8 in inseam</t>
  </si>
  <si>
    <t>6872688</t>
  </si>
  <si>
    <t>Slazenger Men's Shorts</t>
  </si>
  <si>
    <t>60% Cotton / 40% Poly Fleece</t>
  </si>
  <si>
    <t>6872684</t>
  </si>
  <si>
    <t>Kids</t>
  </si>
  <si>
    <t>Kids Cushions</t>
  </si>
  <si>
    <t>Assorted Designs</t>
  </si>
  <si>
    <t>6880745</t>
  </si>
  <si>
    <t>Assorted children's designs</t>
  </si>
  <si>
    <t>Kids 3-Pack Fun Socks</t>
  </si>
  <si>
    <t>Assorted Styles</t>
  </si>
  <si>
    <t>6873145 / 146 / 148 / 147 / 149 / 150 / 152 / 153 / 144 / 151</t>
  </si>
  <si>
    <t>10 CT SKUs; assorted minimum 48</t>
  </si>
  <si>
    <t>Home - Cushions</t>
  </si>
  <si>
    <t>Blue Moon Decorative Pillows</t>
  </si>
  <si>
    <t>Assorted</t>
  </si>
  <si>
    <t>6460985</t>
  </si>
  <si>
    <t>Canada Soccer T-Shirts</t>
  </si>
  <si>
    <t>SOC909-400</t>
  </si>
  <si>
    <t>6841779</t>
  </si>
  <si>
    <t>Home - Throws</t>
  </si>
  <si>
    <t>Hooded Throws - Assorted</t>
  </si>
  <si>
    <t>Sherpa Collection</t>
  </si>
  <si>
    <t>6461688</t>
  </si>
  <si>
    <t>688466117120</t>
  </si>
  <si>
    <t>Bird's Nest Plush Throws</t>
  </si>
  <si>
    <t>50 x 60</t>
  </si>
  <si>
    <t>6430302</t>
  </si>
  <si>
    <t>060971618512</t>
  </si>
  <si>
    <t>Home - Bedding</t>
  </si>
  <si>
    <t>Comforter Sets - Printed</t>
  </si>
  <si>
    <t>Twin / Simple</t>
  </si>
  <si>
    <t>6463180</t>
  </si>
  <si>
    <t>Twin</t>
  </si>
  <si>
    <t>Queen / Grand</t>
  </si>
  <si>
    <t>Queen</t>
  </si>
  <si>
    <t>3-PC Quilt Set</t>
  </si>
  <si>
    <t>King / Tres grand lit</t>
  </si>
  <si>
    <t>King</t>
  </si>
  <si>
    <t>Daphne</t>
  </si>
  <si>
    <t>6463181</t>
  </si>
  <si>
    <t>688466030023</t>
  </si>
  <si>
    <t>Whisper</t>
  </si>
  <si>
    <t>6463182</t>
  </si>
  <si>
    <t>688466092762</t>
  </si>
  <si>
    <t>Symphony</t>
  </si>
  <si>
    <t>6463183</t>
  </si>
  <si>
    <t>688466092779</t>
  </si>
  <si>
    <t>Dream Blue</t>
  </si>
  <si>
    <t>6463184</t>
  </si>
  <si>
    <t>688466101990</t>
  </si>
  <si>
    <t>Forever Blue</t>
  </si>
  <si>
    <t>6463185</t>
  </si>
  <si>
    <t>688466108470</t>
  </si>
  <si>
    <t>Home</t>
  </si>
  <si>
    <t>Faux Fur Carpet</t>
  </si>
  <si>
    <t>36 x 60 in</t>
  </si>
  <si>
    <t>6681439</t>
  </si>
  <si>
    <t>Assorted colours</t>
  </si>
  <si>
    <t>6872219</t>
  </si>
  <si>
    <t>Slazenger Men's Fleece Joggers</t>
  </si>
  <si>
    <t>Style 7010SLM</t>
  </si>
  <si>
    <t>6872202</t>
  </si>
  <si>
    <t>Style 8010SLM</t>
  </si>
  <si>
    <t>Classic Jogger</t>
  </si>
  <si>
    <t>Slazenger Men's Fleece Cargo Joggers</t>
  </si>
  <si>
    <t>Style 8013SLM</t>
  </si>
  <si>
    <t>Style 8012SLM</t>
  </si>
  <si>
    <t>Terra Nova Men's Fleece Joggers</t>
  </si>
  <si>
    <t>Black / Grey / Navy</t>
  </si>
  <si>
    <t>Slazenger Men's Joggers with Side Stripes</t>
  </si>
  <si>
    <t>6872218</t>
  </si>
  <si>
    <t>Special</t>
  </si>
  <si>
    <t>Ladies Apparel</t>
  </si>
  <si>
    <t>Slazenger Ladies Cargo Pants</t>
  </si>
  <si>
    <t>Quarter Zip</t>
  </si>
  <si>
    <t>6872683</t>
  </si>
  <si>
    <t>Poly Mesh - Hydro-Dry</t>
  </si>
  <si>
    <t>6872690</t>
  </si>
  <si>
    <t>Poly Active - Hydro-Dry</t>
  </si>
  <si>
    <t>Outdoor</t>
  </si>
  <si>
    <t>Pocket Cutlery</t>
  </si>
  <si>
    <t>6 Functions in 1</t>
  </si>
  <si>
    <t>6424189</t>
  </si>
  <si>
    <t>Compact / versatile / durable</t>
  </si>
  <si>
    <t>ORDER TOTALS</t>
  </si>
  <si>
    <t>Cases / Units / Dealer Total</t>
  </si>
  <si>
    <t>Made in Canada</t>
  </si>
  <si>
    <t xml:space="preserve">Pack per color / assorted sizes </t>
  </si>
  <si>
    <t>Slazenger Men's Polos -Sky / Teal / Black / Navy Blue</t>
  </si>
  <si>
    <t>Slazenger Men's Jackets -Ash / Black / Blue</t>
  </si>
  <si>
    <t>Slazenger Men's Wind-Breaker Jacket -Black / Navy Blue / Sky Blue</t>
  </si>
  <si>
    <t>Slazenger Men's Active Cargo Shorts -Black / Charcoal / Sky Blue</t>
  </si>
  <si>
    <t>Assorted designs</t>
  </si>
  <si>
    <t xml:space="preserve">Slazenger Cargo Shorts </t>
  </si>
  <si>
    <t>3-PC Quilt Set - DQ - 60113.3DQ.41</t>
  </si>
  <si>
    <t>3-PC Quilt Set - DQ -60113.EC3DQ.51</t>
  </si>
  <si>
    <t>3-PC Quilt Set - DQ -60113.EC3DQ.52</t>
  </si>
  <si>
    <t>3-PC Quilt Set - DQ - 60113.EC3DQ.54</t>
  </si>
  <si>
    <t>3-PC Quilt Set - DQ -60113.EC3DQ.55</t>
  </si>
  <si>
    <t>Assorted Colours / assorted sizes</t>
  </si>
  <si>
    <t xml:space="preserve">Assorted Sizes and Styles </t>
  </si>
  <si>
    <t xml:space="preserve">Assorted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</si>
</sst>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8">
    <font>
      <sz val="11"/>
      <name val="Carlito"/>
    </font>
    <font>
      <b/>
      <sz val="20"/>
      <color rgb="FFFFFFFF"/>
      <name val="Carlito"/>
    </font>
    <font>
      <b/>
      <sz val="11"/>
      <color rgb="FF0B2F4F"/>
      <name val="Carlito"/>
    </font>
    <font>
      <b/>
      <sz val="10"/>
      <color rgb="FFFFFFFF"/>
      <name val="Carlito"/>
    </font>
    <font>
      <b/>
      <sz val="12"/>
      <color rgb="FFFFFFFF"/>
      <name val="Carlito"/>
    </font>
    <font>
      <b/>
      <sz val="12"/>
      <color rgb="FF000000"/>
      <name val="Carlito"/>
    </font>
    <font>
      <i/>
      <sz val="11"/>
      <name val="Carlito"/>
    </font>
    <font>
      <b/>
      <sz val="11"/>
      <color rgb="FF9C57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2F4F"/>
      </patternFill>
    </fill>
    <fill>
      <patternFill patternType="solid">
        <fgColor rgb="FFDDEBF7"/>
      </patternFill>
    </fill>
    <fill>
      <patternFill patternType="solid">
        <fgColor rgb="FFEAF2F8"/>
      </patternFill>
    </fill>
    <fill>
      <patternFill patternType="solid">
        <fgColor rgb="FF123E66"/>
      </patternFill>
    </fill>
    <fill>
      <patternFill patternType="solid">
        <fgColor rgb="FFFFF2CC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4" borderId="0" xfId="0" applyFont="1" applyFill="1"/>
    <xf numFmtId="0" fontId="3" fillId="5" borderId="0" xfId="0" applyFont="1" applyFill="1" applyAlignment="1">
      <alignment horizontal="center" vertical="center" wrapText="1"/>
    </xf>
    <xf numFmtId="0" fontId="5" fillId="6" borderId="0" xfId="0" applyFont="1" applyFill="1"/>
    <xf numFmtId="0" fontId="6" fillId="6" borderId="0" xfId="0" applyFont="1" applyFill="1"/>
    <xf numFmtId="165" fontId="0" fillId="0" borderId="0" xfId="0" applyNumberFormat="1"/>
    <xf numFmtId="165" fontId="5" fillId="6" borderId="0" xfId="0" applyNumberFormat="1" applyFont="1" applyFill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"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MAOrderTable" displayName="FMAOrderTable" ref="A9:N40" totalsRowShown="0">
  <tableColumns count="14">
    <tableColumn id="1" xr3:uid="{00000000-0010-0000-0000-000001000000}" name="Slide" dataDxfId="0"/>
    <tableColumn id="2" xr3:uid="{00000000-0010-0000-0000-000002000000}" name="Category"/>
    <tableColumn id="3" xr3:uid="{00000000-0010-0000-0000-000003000000}" name="Product"/>
    <tableColumn id="4" xr3:uid="{00000000-0010-0000-0000-000004000000}" name="Style / Variant"/>
    <tableColumn id="5" xr3:uid="{00000000-0010-0000-0000-000005000000}" name="CT SKU"/>
    <tableColumn id="6" xr3:uid="{00000000-0010-0000-0000-000006000000}" name="UPC"/>
    <tableColumn id="7" xr3:uid="{00000000-0010-0000-0000-000007000000}" name="Dealer Price"/>
    <tableColumn id="8" xr3:uid="{00000000-0010-0000-0000-000008000000}" name="Suggested Retail"/>
    <tableColumn id="9" xr3:uid="{00000000-0010-0000-0000-000009000000}" name="Dealer Margin"/>
    <tableColumn id="10" xr3:uid="{00000000-0010-0000-0000-00000A000000}" name="Case Pack"/>
    <tableColumn id="11" xr3:uid="{00000000-0010-0000-0000-00000B000000}" name="Order Qty (Cases)"/>
    <tableColumn id="12" xr3:uid="{00000000-0010-0000-0000-00000C000000}" name="Units"/>
    <tableColumn id="13" xr3:uid="{00000000-0010-0000-0000-00000D000000}" name="Extended Dealer $"/>
    <tableColumn id="14" xr3:uid="{00000000-0010-0000-0000-00000E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pane ySplit="9" topLeftCell="A10" activePane="bottomLeft" state="frozen"/>
      <selection pane="bottomLeft" activeCell="C37" sqref="C37"/>
    </sheetView>
  </sheetViews>
  <sheetFormatPr baseColWidth="10" defaultColWidth="8.83203125" defaultRowHeight="14"/>
  <cols>
    <col min="1" max="1" width="16.6640625" style="21" bestFit="1" customWidth="1"/>
    <col min="2" max="2" width="18" customWidth="1"/>
    <col min="3" max="3" width="31" customWidth="1"/>
    <col min="4" max="4" width="24" customWidth="1"/>
    <col min="5" max="5" width="19" customWidth="1"/>
    <col min="6" max="6" width="16" customWidth="1"/>
    <col min="7" max="7" width="16.6640625" bestFit="1" customWidth="1"/>
    <col min="8" max="8" width="14" customWidth="1"/>
    <col min="9" max="9" width="13" customWidth="1"/>
    <col min="10" max="10" width="10" customWidth="1"/>
    <col min="11" max="11" width="15" customWidth="1"/>
    <col min="12" max="12" width="10" customWidth="1"/>
    <col min="13" max="13" width="18" customWidth="1"/>
    <col min="14" max="14" width="29" bestFit="1" customWidth="1"/>
  </cols>
  <sheetData>
    <row r="1" spans="1:14" ht="28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28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8" customHeight="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5" spans="1:14" ht="15">
      <c r="A5" s="17" t="s">
        <v>2</v>
      </c>
      <c r="B5" s="25"/>
      <c r="C5" s="25"/>
      <c r="D5" s="25"/>
      <c r="E5" s="25"/>
      <c r="G5" s="1" t="s">
        <v>3</v>
      </c>
      <c r="H5" s="25"/>
      <c r="I5" s="25"/>
      <c r="J5" s="25"/>
      <c r="K5" s="25"/>
      <c r="L5" s="25"/>
      <c r="M5" s="25"/>
      <c r="N5" s="25"/>
    </row>
    <row r="6" spans="1:14" ht="15">
      <c r="A6" s="17" t="s">
        <v>4</v>
      </c>
      <c r="B6" s="25"/>
      <c r="C6" s="25"/>
      <c r="D6" s="25"/>
      <c r="E6" s="25"/>
      <c r="G6" s="1" t="s">
        <v>5</v>
      </c>
      <c r="H6" s="25"/>
      <c r="I6" s="25"/>
      <c r="J6" s="25"/>
      <c r="K6" s="25"/>
      <c r="L6" s="25"/>
      <c r="M6" s="25"/>
      <c r="N6" s="25"/>
    </row>
    <row r="7" spans="1:14" ht="15">
      <c r="A7" s="17" t="s">
        <v>6</v>
      </c>
      <c r="B7" s="25"/>
      <c r="C7" s="25"/>
      <c r="D7" s="25"/>
      <c r="E7" s="25"/>
      <c r="G7" s="1" t="s">
        <v>7</v>
      </c>
      <c r="H7" s="25"/>
      <c r="I7" s="25"/>
      <c r="J7" s="25"/>
      <c r="K7" s="25"/>
      <c r="L7" s="25"/>
      <c r="M7" s="25"/>
      <c r="N7" s="25"/>
    </row>
    <row r="9" spans="1:14" ht="32" customHeight="1">
      <c r="A9" s="18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  <c r="M9" s="2" t="s">
        <v>20</v>
      </c>
      <c r="N9" s="2" t="s">
        <v>21</v>
      </c>
    </row>
    <row r="10" spans="1:14" ht="34" customHeight="1">
      <c r="A10" s="19">
        <v>1</v>
      </c>
      <c r="B10" s="7" t="s">
        <v>22</v>
      </c>
      <c r="C10" s="7" t="s">
        <v>23</v>
      </c>
      <c r="D10" s="7" t="s">
        <v>24</v>
      </c>
      <c r="E10" s="7" t="s">
        <v>25</v>
      </c>
      <c r="F10" s="7"/>
      <c r="G10" s="8">
        <v>19.98</v>
      </c>
      <c r="H10" s="8">
        <v>29.99</v>
      </c>
      <c r="I10" s="9">
        <f t="shared" ref="I10:I40" si="0">IFERROR((H10-G10)/H10,"")</f>
        <v>0.33377792597532507</v>
      </c>
      <c r="J10" s="7">
        <v>36</v>
      </c>
      <c r="K10" s="15">
        <v>0</v>
      </c>
      <c r="L10" s="7">
        <f t="shared" ref="L10:L40" si="1">IF(OR(J10="",K10=""),"",J10*K10)</f>
        <v>0</v>
      </c>
      <c r="M10" s="10">
        <f t="shared" ref="M10:M40" si="2">IF(OR(L10="",G10=""),"",L10*G10)</f>
        <v>0</v>
      </c>
      <c r="N10" s="7" t="s">
        <v>129</v>
      </c>
    </row>
    <row r="11" spans="1:14" ht="34" customHeight="1">
      <c r="A11" s="19">
        <v>2</v>
      </c>
      <c r="B11" s="7" t="s">
        <v>26</v>
      </c>
      <c r="C11" s="7" t="s">
        <v>120</v>
      </c>
      <c r="D11" s="7" t="s">
        <v>27</v>
      </c>
      <c r="E11" s="7" t="s">
        <v>28</v>
      </c>
      <c r="F11" s="7"/>
      <c r="G11" s="8">
        <v>13.04</v>
      </c>
      <c r="H11" s="8">
        <v>19.989999999999998</v>
      </c>
      <c r="I11" s="9">
        <f t="shared" si="0"/>
        <v>0.34767383691845921</v>
      </c>
      <c r="J11" s="7">
        <v>6</v>
      </c>
      <c r="K11" s="15">
        <v>0</v>
      </c>
      <c r="L11" s="7">
        <f t="shared" si="1"/>
        <v>0</v>
      </c>
      <c r="M11" s="10">
        <f t="shared" si="2"/>
        <v>0</v>
      </c>
      <c r="N11" s="7" t="s">
        <v>116</v>
      </c>
    </row>
    <row r="12" spans="1:14" ht="34" customHeight="1">
      <c r="A12" s="19">
        <v>3</v>
      </c>
      <c r="B12" s="7" t="s">
        <v>26</v>
      </c>
      <c r="C12" s="7" t="s">
        <v>29</v>
      </c>
      <c r="D12" s="7" t="s">
        <v>30</v>
      </c>
      <c r="E12" s="7" t="s">
        <v>31</v>
      </c>
      <c r="F12" s="7"/>
      <c r="G12" s="8">
        <v>16.100000000000001</v>
      </c>
      <c r="H12" s="8">
        <v>24.99</v>
      </c>
      <c r="I12" s="9">
        <f t="shared" si="0"/>
        <v>0.35574229691876741</v>
      </c>
      <c r="J12" s="7">
        <v>9</v>
      </c>
      <c r="K12" s="15">
        <v>0</v>
      </c>
      <c r="L12" s="7">
        <f t="shared" si="1"/>
        <v>0</v>
      </c>
      <c r="M12" s="10">
        <f t="shared" si="2"/>
        <v>0</v>
      </c>
      <c r="N12" s="7" t="s">
        <v>116</v>
      </c>
    </row>
    <row r="13" spans="1:14" ht="34" customHeight="1">
      <c r="A13" s="19">
        <v>4</v>
      </c>
      <c r="B13" s="7" t="s">
        <v>32</v>
      </c>
      <c r="C13" s="7" t="s">
        <v>33</v>
      </c>
      <c r="D13" s="7" t="s">
        <v>34</v>
      </c>
      <c r="E13" s="7" t="s">
        <v>35</v>
      </c>
      <c r="F13" s="7"/>
      <c r="G13" s="8">
        <v>11.66</v>
      </c>
      <c r="H13" s="8">
        <v>19.989999999999998</v>
      </c>
      <c r="I13" s="9">
        <f t="shared" si="0"/>
        <v>0.41670835417708851</v>
      </c>
      <c r="J13" s="7">
        <v>24</v>
      </c>
      <c r="K13" s="15">
        <v>0</v>
      </c>
      <c r="L13" s="7">
        <f t="shared" si="1"/>
        <v>0</v>
      </c>
      <c r="M13" s="10">
        <f t="shared" si="2"/>
        <v>0</v>
      </c>
      <c r="N13" s="7" t="s">
        <v>36</v>
      </c>
    </row>
    <row r="14" spans="1:14" ht="34" customHeight="1">
      <c r="A14" s="19">
        <v>5</v>
      </c>
      <c r="B14" s="7" t="s">
        <v>32</v>
      </c>
      <c r="C14" s="7" t="s">
        <v>37</v>
      </c>
      <c r="D14" s="7" t="s">
        <v>38</v>
      </c>
      <c r="E14" s="7" t="s">
        <v>39</v>
      </c>
      <c r="F14" s="7"/>
      <c r="G14" s="8">
        <v>5.55</v>
      </c>
      <c r="H14" s="8">
        <v>9.99</v>
      </c>
      <c r="I14" s="9">
        <f t="shared" si="0"/>
        <v>0.44444444444444448</v>
      </c>
      <c r="J14" s="7">
        <v>48</v>
      </c>
      <c r="K14" s="15">
        <v>0</v>
      </c>
      <c r="L14" s="7">
        <f t="shared" si="1"/>
        <v>0</v>
      </c>
      <c r="M14" s="10">
        <f t="shared" si="2"/>
        <v>0</v>
      </c>
      <c r="N14" s="7" t="s">
        <v>40</v>
      </c>
    </row>
    <row r="15" spans="1:14" ht="34" customHeight="1">
      <c r="A15" s="19">
        <v>6</v>
      </c>
      <c r="B15" s="7" t="s">
        <v>41</v>
      </c>
      <c r="C15" s="7" t="s">
        <v>42</v>
      </c>
      <c r="D15" s="7" t="s">
        <v>43</v>
      </c>
      <c r="E15" s="7" t="s">
        <v>44</v>
      </c>
      <c r="F15" s="7"/>
      <c r="G15" s="8">
        <v>11.6</v>
      </c>
      <c r="H15" s="8">
        <v>17.989999999999998</v>
      </c>
      <c r="I15" s="9">
        <f t="shared" si="0"/>
        <v>0.35519733185102831</v>
      </c>
      <c r="J15" s="7">
        <v>24</v>
      </c>
      <c r="K15" s="15">
        <v>0</v>
      </c>
      <c r="L15" s="7">
        <f t="shared" si="1"/>
        <v>0</v>
      </c>
      <c r="M15" s="10">
        <f t="shared" si="2"/>
        <v>0</v>
      </c>
      <c r="N15" s="7" t="s">
        <v>115</v>
      </c>
    </row>
    <row r="16" spans="1:14" ht="34" customHeight="1">
      <c r="A16" s="19">
        <v>7</v>
      </c>
      <c r="B16" s="7" t="s">
        <v>22</v>
      </c>
      <c r="C16" s="7" t="s">
        <v>45</v>
      </c>
      <c r="D16" s="7" t="s">
        <v>46</v>
      </c>
      <c r="E16" s="7" t="s">
        <v>47</v>
      </c>
      <c r="F16" s="7"/>
      <c r="G16" s="8">
        <v>5.27</v>
      </c>
      <c r="H16" s="8">
        <v>12.99</v>
      </c>
      <c r="I16" s="9">
        <f t="shared" si="0"/>
        <v>0.59430331023864513</v>
      </c>
      <c r="J16" s="7">
        <v>30</v>
      </c>
      <c r="K16" s="15">
        <v>0</v>
      </c>
      <c r="L16" s="7">
        <f t="shared" si="1"/>
        <v>0</v>
      </c>
      <c r="M16" s="10">
        <f t="shared" si="2"/>
        <v>0</v>
      </c>
      <c r="N16" s="7" t="s">
        <v>128</v>
      </c>
    </row>
    <row r="17" spans="1:14" ht="34" customHeight="1">
      <c r="A17" s="19">
        <v>8</v>
      </c>
      <c r="B17" s="7" t="s">
        <v>48</v>
      </c>
      <c r="C17" s="7" t="s">
        <v>49</v>
      </c>
      <c r="D17" s="7" t="s">
        <v>50</v>
      </c>
      <c r="E17" s="7" t="s">
        <v>51</v>
      </c>
      <c r="F17" s="7" t="s">
        <v>52</v>
      </c>
      <c r="G17" s="8">
        <v>13.88</v>
      </c>
      <c r="H17" s="8">
        <v>24.99</v>
      </c>
      <c r="I17" s="9">
        <f t="shared" si="0"/>
        <v>0.44457783113245292</v>
      </c>
      <c r="J17" s="7">
        <v>24</v>
      </c>
      <c r="K17" s="15">
        <v>0</v>
      </c>
      <c r="L17" s="7">
        <f t="shared" si="1"/>
        <v>0</v>
      </c>
      <c r="M17" s="10">
        <f t="shared" si="2"/>
        <v>0</v>
      </c>
      <c r="N17" s="7" t="s">
        <v>121</v>
      </c>
    </row>
    <row r="18" spans="1:14" ht="34" customHeight="1">
      <c r="A18" s="19">
        <v>9</v>
      </c>
      <c r="B18" s="7" t="s">
        <v>48</v>
      </c>
      <c r="C18" s="7" t="s">
        <v>53</v>
      </c>
      <c r="D18" s="7" t="s">
        <v>54</v>
      </c>
      <c r="E18" s="7" t="s">
        <v>55</v>
      </c>
      <c r="F18" s="7" t="s">
        <v>56</v>
      </c>
      <c r="G18" s="8">
        <v>11.88</v>
      </c>
      <c r="H18" s="8">
        <v>24.99</v>
      </c>
      <c r="I18" s="9">
        <f t="shared" si="0"/>
        <v>0.52460984393757493</v>
      </c>
      <c r="J18" s="7">
        <v>18</v>
      </c>
      <c r="K18" s="15">
        <v>0</v>
      </c>
      <c r="L18" s="7">
        <f t="shared" si="1"/>
        <v>0</v>
      </c>
      <c r="M18" s="10">
        <f t="shared" si="2"/>
        <v>0</v>
      </c>
      <c r="N18" s="7" t="s">
        <v>43</v>
      </c>
    </row>
    <row r="19" spans="1:14" ht="34" customHeight="1">
      <c r="A19" s="19">
        <v>10</v>
      </c>
      <c r="B19" s="7" t="s">
        <v>57</v>
      </c>
      <c r="C19" s="7" t="s">
        <v>58</v>
      </c>
      <c r="D19" s="7" t="s">
        <v>59</v>
      </c>
      <c r="E19" s="7" t="s">
        <v>60</v>
      </c>
      <c r="F19" s="7"/>
      <c r="G19" s="8">
        <v>22.14</v>
      </c>
      <c r="H19" s="8">
        <v>32.99</v>
      </c>
      <c r="I19" s="9">
        <f t="shared" si="0"/>
        <v>0.32888754167929679</v>
      </c>
      <c r="J19" s="7">
        <v>6</v>
      </c>
      <c r="K19" s="15">
        <v>0</v>
      </c>
      <c r="L19" s="7">
        <f t="shared" si="1"/>
        <v>0</v>
      </c>
      <c r="M19" s="10">
        <f t="shared" si="2"/>
        <v>0</v>
      </c>
      <c r="N19" s="7" t="s">
        <v>61</v>
      </c>
    </row>
    <row r="20" spans="1:14" ht="34" customHeight="1">
      <c r="A20" s="19">
        <v>10</v>
      </c>
      <c r="B20" s="7" t="s">
        <v>57</v>
      </c>
      <c r="C20" s="7" t="s">
        <v>58</v>
      </c>
      <c r="D20" s="7" t="s">
        <v>62</v>
      </c>
      <c r="E20" s="7" t="s">
        <v>60</v>
      </c>
      <c r="F20" s="7"/>
      <c r="G20" s="8">
        <v>23.25</v>
      </c>
      <c r="H20" s="8">
        <v>34.99</v>
      </c>
      <c r="I20" s="9">
        <f t="shared" si="0"/>
        <v>0.3355244355530152</v>
      </c>
      <c r="J20" s="7">
        <v>6</v>
      </c>
      <c r="K20" s="15">
        <v>0</v>
      </c>
      <c r="L20" s="7">
        <f t="shared" si="1"/>
        <v>0</v>
      </c>
      <c r="M20" s="10">
        <f t="shared" si="2"/>
        <v>0</v>
      </c>
      <c r="N20" s="7" t="s">
        <v>63</v>
      </c>
    </row>
    <row r="21" spans="1:14" ht="34" customHeight="1">
      <c r="A21" s="19">
        <v>11</v>
      </c>
      <c r="B21" s="7" t="s">
        <v>57</v>
      </c>
      <c r="C21" s="7" t="s">
        <v>64</v>
      </c>
      <c r="D21" s="7" t="s">
        <v>65</v>
      </c>
      <c r="E21" s="7" t="s">
        <v>60</v>
      </c>
      <c r="F21" s="7"/>
      <c r="G21" s="8">
        <v>17.760000000000002</v>
      </c>
      <c r="H21" s="8">
        <v>29.99</v>
      </c>
      <c r="I21" s="9">
        <f t="shared" si="0"/>
        <v>0.40780260086695558</v>
      </c>
      <c r="J21" s="7">
        <v>6</v>
      </c>
      <c r="K21" s="15">
        <v>0</v>
      </c>
      <c r="L21" s="7">
        <f t="shared" si="1"/>
        <v>0</v>
      </c>
      <c r="M21" s="10">
        <f t="shared" si="2"/>
        <v>0</v>
      </c>
      <c r="N21" s="7" t="s">
        <v>66</v>
      </c>
    </row>
    <row r="22" spans="1:14" ht="34" customHeight="1">
      <c r="A22" s="19">
        <v>12</v>
      </c>
      <c r="B22" s="7" t="s">
        <v>57</v>
      </c>
      <c r="C22" s="7" t="s">
        <v>123</v>
      </c>
      <c r="D22" s="7" t="s">
        <v>67</v>
      </c>
      <c r="E22" s="7" t="s">
        <v>68</v>
      </c>
      <c r="F22" s="7" t="s">
        <v>69</v>
      </c>
      <c r="G22" s="8">
        <v>23.31</v>
      </c>
      <c r="H22" s="8">
        <v>39.99</v>
      </c>
      <c r="I22" s="9">
        <f t="shared" si="0"/>
        <v>0.41710427606901729</v>
      </c>
      <c r="J22" s="7">
        <v>4</v>
      </c>
      <c r="K22" s="15">
        <v>0</v>
      </c>
      <c r="L22" s="7">
        <f t="shared" si="1"/>
        <v>0</v>
      </c>
      <c r="M22" s="10">
        <f t="shared" si="2"/>
        <v>0</v>
      </c>
      <c r="N22" s="7" t="s">
        <v>63</v>
      </c>
    </row>
    <row r="23" spans="1:14" ht="34" customHeight="1">
      <c r="A23" s="19">
        <v>12</v>
      </c>
      <c r="B23" s="7" t="s">
        <v>57</v>
      </c>
      <c r="C23" s="7" t="s">
        <v>124</v>
      </c>
      <c r="D23" s="7" t="s">
        <v>70</v>
      </c>
      <c r="E23" s="7" t="s">
        <v>71</v>
      </c>
      <c r="F23" s="7" t="s">
        <v>72</v>
      </c>
      <c r="G23" s="8">
        <v>23.31</v>
      </c>
      <c r="H23" s="8">
        <v>39.99</v>
      </c>
      <c r="I23" s="9">
        <f t="shared" si="0"/>
        <v>0.41710427606901729</v>
      </c>
      <c r="J23" s="7">
        <v>4</v>
      </c>
      <c r="K23" s="15">
        <v>0</v>
      </c>
      <c r="L23" s="7">
        <f t="shared" si="1"/>
        <v>0</v>
      </c>
      <c r="M23" s="10">
        <f t="shared" si="2"/>
        <v>0</v>
      </c>
      <c r="N23" s="7" t="s">
        <v>63</v>
      </c>
    </row>
    <row r="24" spans="1:14" ht="34" customHeight="1">
      <c r="A24" s="19">
        <v>12</v>
      </c>
      <c r="B24" s="7" t="s">
        <v>57</v>
      </c>
      <c r="C24" s="7" t="s">
        <v>125</v>
      </c>
      <c r="D24" s="7" t="s">
        <v>73</v>
      </c>
      <c r="E24" s="7" t="s">
        <v>74</v>
      </c>
      <c r="F24" s="7" t="s">
        <v>75</v>
      </c>
      <c r="G24" s="8">
        <v>23.31</v>
      </c>
      <c r="H24" s="8">
        <v>39.99</v>
      </c>
      <c r="I24" s="9">
        <f t="shared" si="0"/>
        <v>0.41710427606901729</v>
      </c>
      <c r="J24" s="7">
        <v>4</v>
      </c>
      <c r="K24" s="15">
        <v>0</v>
      </c>
      <c r="L24" s="7">
        <f t="shared" si="1"/>
        <v>0</v>
      </c>
      <c r="M24" s="10">
        <f t="shared" si="2"/>
        <v>0</v>
      </c>
      <c r="N24" s="7" t="s">
        <v>63</v>
      </c>
    </row>
    <row r="25" spans="1:14" ht="34" customHeight="1">
      <c r="A25" s="19">
        <v>12</v>
      </c>
      <c r="B25" s="7" t="s">
        <v>57</v>
      </c>
      <c r="C25" s="7" t="s">
        <v>126</v>
      </c>
      <c r="D25" s="7" t="s">
        <v>76</v>
      </c>
      <c r="E25" s="7" t="s">
        <v>77</v>
      </c>
      <c r="F25" s="7" t="s">
        <v>78</v>
      </c>
      <c r="G25" s="8">
        <v>23.31</v>
      </c>
      <c r="H25" s="8">
        <v>39.99</v>
      </c>
      <c r="I25" s="9">
        <f t="shared" si="0"/>
        <v>0.41710427606901729</v>
      </c>
      <c r="J25" s="7">
        <v>4</v>
      </c>
      <c r="K25" s="15">
        <v>0</v>
      </c>
      <c r="L25" s="7">
        <f t="shared" si="1"/>
        <v>0</v>
      </c>
      <c r="M25" s="10">
        <f t="shared" si="2"/>
        <v>0</v>
      </c>
      <c r="N25" s="7" t="s">
        <v>63</v>
      </c>
    </row>
    <row r="26" spans="1:14" ht="34" customHeight="1">
      <c r="A26" s="19">
        <v>12</v>
      </c>
      <c r="B26" s="7" t="s">
        <v>57</v>
      </c>
      <c r="C26" s="7" t="s">
        <v>127</v>
      </c>
      <c r="D26" s="7" t="s">
        <v>79</v>
      </c>
      <c r="E26" s="7" t="s">
        <v>80</v>
      </c>
      <c r="F26" s="7" t="s">
        <v>81</v>
      </c>
      <c r="G26" s="8">
        <v>23.31</v>
      </c>
      <c r="H26" s="8">
        <v>39.99</v>
      </c>
      <c r="I26" s="9">
        <f t="shared" si="0"/>
        <v>0.41710427606901729</v>
      </c>
      <c r="J26" s="7">
        <v>4</v>
      </c>
      <c r="K26" s="15">
        <v>0</v>
      </c>
      <c r="L26" s="7">
        <f t="shared" si="1"/>
        <v>0</v>
      </c>
      <c r="M26" s="10">
        <f t="shared" si="2"/>
        <v>0</v>
      </c>
      <c r="N26" s="7" t="s">
        <v>63</v>
      </c>
    </row>
    <row r="27" spans="1:14" ht="34" customHeight="1">
      <c r="A27" s="19">
        <v>13</v>
      </c>
      <c r="B27" s="7" t="s">
        <v>82</v>
      </c>
      <c r="C27" s="7" t="s">
        <v>83</v>
      </c>
      <c r="D27" s="7" t="s">
        <v>84</v>
      </c>
      <c r="E27" s="7" t="s">
        <v>85</v>
      </c>
      <c r="F27" s="7"/>
      <c r="G27" s="8">
        <v>19.98</v>
      </c>
      <c r="H27" s="8">
        <v>29.99</v>
      </c>
      <c r="I27" s="9">
        <f t="shared" si="0"/>
        <v>0.33377792597532507</v>
      </c>
      <c r="J27" s="7">
        <v>12</v>
      </c>
      <c r="K27" s="15">
        <v>0</v>
      </c>
      <c r="L27" s="7">
        <f t="shared" si="1"/>
        <v>0</v>
      </c>
      <c r="M27" s="10">
        <f t="shared" si="2"/>
        <v>0</v>
      </c>
      <c r="N27" s="7" t="s">
        <v>86</v>
      </c>
    </row>
    <row r="28" spans="1:14" ht="34" customHeight="1">
      <c r="A28" s="19">
        <v>14</v>
      </c>
      <c r="B28" s="7" t="s">
        <v>22</v>
      </c>
      <c r="C28" s="7" t="s">
        <v>122</v>
      </c>
      <c r="D28" s="7" t="s">
        <v>30</v>
      </c>
      <c r="E28" s="7" t="s">
        <v>87</v>
      </c>
      <c r="F28" s="7"/>
      <c r="G28" s="8">
        <v>15.54</v>
      </c>
      <c r="H28" s="8">
        <v>24.99</v>
      </c>
      <c r="I28" s="9">
        <f t="shared" si="0"/>
        <v>0.37815126050420167</v>
      </c>
      <c r="J28" s="7">
        <v>9</v>
      </c>
      <c r="K28" s="15">
        <v>0</v>
      </c>
      <c r="L28" s="7">
        <f t="shared" si="1"/>
        <v>0</v>
      </c>
      <c r="M28" s="10">
        <f t="shared" si="2"/>
        <v>0</v>
      </c>
      <c r="N28" s="7" t="s">
        <v>116</v>
      </c>
    </row>
    <row r="29" spans="1:14" ht="34" customHeight="1">
      <c r="A29" s="19">
        <v>15</v>
      </c>
      <c r="B29" s="7" t="s">
        <v>22</v>
      </c>
      <c r="C29" s="7" t="s">
        <v>88</v>
      </c>
      <c r="D29" s="7" t="s">
        <v>89</v>
      </c>
      <c r="E29" s="7" t="s">
        <v>90</v>
      </c>
      <c r="F29" s="7"/>
      <c r="G29" s="8">
        <v>15.54</v>
      </c>
      <c r="H29" s="8">
        <v>24.99</v>
      </c>
      <c r="I29" s="9">
        <f t="shared" si="0"/>
        <v>0.37815126050420167</v>
      </c>
      <c r="J29" s="7">
        <v>9</v>
      </c>
      <c r="K29" s="15">
        <v>0</v>
      </c>
      <c r="L29" s="7">
        <f t="shared" si="1"/>
        <v>0</v>
      </c>
      <c r="M29" s="10">
        <f t="shared" si="2"/>
        <v>0</v>
      </c>
      <c r="N29" s="7" t="s">
        <v>116</v>
      </c>
    </row>
    <row r="30" spans="1:14" ht="34" customHeight="1">
      <c r="A30" s="19">
        <v>16</v>
      </c>
      <c r="B30" s="7" t="s">
        <v>22</v>
      </c>
      <c r="C30" s="7" t="s">
        <v>88</v>
      </c>
      <c r="D30" s="7" t="s">
        <v>91</v>
      </c>
      <c r="E30" s="7" t="s">
        <v>87</v>
      </c>
      <c r="F30" s="7"/>
      <c r="G30" s="8">
        <v>19.43</v>
      </c>
      <c r="H30" s="8">
        <v>29.99</v>
      </c>
      <c r="I30" s="9">
        <f t="shared" si="0"/>
        <v>0.35211737245748581</v>
      </c>
      <c r="J30" s="7">
        <v>9</v>
      </c>
      <c r="K30" s="15">
        <v>0</v>
      </c>
      <c r="L30" s="7">
        <f t="shared" si="1"/>
        <v>0</v>
      </c>
      <c r="M30" s="10">
        <f t="shared" si="2"/>
        <v>0</v>
      </c>
      <c r="N30" s="7" t="s">
        <v>116</v>
      </c>
    </row>
    <row r="31" spans="1:14" ht="34" customHeight="1">
      <c r="A31" s="19">
        <v>17</v>
      </c>
      <c r="B31" s="7" t="s">
        <v>22</v>
      </c>
      <c r="C31" s="7" t="s">
        <v>88</v>
      </c>
      <c r="D31" s="7" t="s">
        <v>92</v>
      </c>
      <c r="E31" s="7" t="s">
        <v>87</v>
      </c>
      <c r="F31" s="7"/>
      <c r="G31" s="8">
        <v>19.43</v>
      </c>
      <c r="H31" s="8">
        <v>29.99</v>
      </c>
      <c r="I31" s="9">
        <f t="shared" si="0"/>
        <v>0.35211737245748581</v>
      </c>
      <c r="J31" s="7">
        <v>9</v>
      </c>
      <c r="K31" s="15">
        <v>0</v>
      </c>
      <c r="L31" s="7">
        <f t="shared" si="1"/>
        <v>0</v>
      </c>
      <c r="M31" s="10">
        <f t="shared" si="2"/>
        <v>0</v>
      </c>
      <c r="N31" s="7" t="s">
        <v>116</v>
      </c>
    </row>
    <row r="32" spans="1:14" ht="34" customHeight="1">
      <c r="A32" s="19">
        <v>18</v>
      </c>
      <c r="B32" s="7" t="s">
        <v>22</v>
      </c>
      <c r="C32" s="7" t="s">
        <v>93</v>
      </c>
      <c r="D32" s="7" t="s">
        <v>94</v>
      </c>
      <c r="E32" s="7" t="s">
        <v>87</v>
      </c>
      <c r="F32" s="7"/>
      <c r="G32" s="8">
        <v>19.43</v>
      </c>
      <c r="H32" s="8">
        <v>29.99</v>
      </c>
      <c r="I32" s="9">
        <f t="shared" si="0"/>
        <v>0.35211737245748581</v>
      </c>
      <c r="J32" s="7">
        <v>9</v>
      </c>
      <c r="K32" s="15">
        <v>0</v>
      </c>
      <c r="L32" s="7">
        <f t="shared" si="1"/>
        <v>0</v>
      </c>
      <c r="M32" s="10">
        <f t="shared" si="2"/>
        <v>0</v>
      </c>
      <c r="N32" s="7" t="s">
        <v>116</v>
      </c>
    </row>
    <row r="33" spans="1:14" ht="34" customHeight="1">
      <c r="A33" s="19">
        <v>19</v>
      </c>
      <c r="B33" s="7" t="s">
        <v>22</v>
      </c>
      <c r="C33" s="7" t="s">
        <v>93</v>
      </c>
      <c r="D33" s="7" t="s">
        <v>95</v>
      </c>
      <c r="E33" s="7" t="s">
        <v>87</v>
      </c>
      <c r="F33" s="7"/>
      <c r="G33" s="8">
        <v>19.43</v>
      </c>
      <c r="H33" s="8">
        <v>29.99</v>
      </c>
      <c r="I33" s="9">
        <f t="shared" si="0"/>
        <v>0.35211737245748581</v>
      </c>
      <c r="J33" s="7">
        <v>9</v>
      </c>
      <c r="K33" s="15">
        <v>0</v>
      </c>
      <c r="L33" s="7">
        <f t="shared" si="1"/>
        <v>0</v>
      </c>
      <c r="M33" s="10">
        <f t="shared" si="2"/>
        <v>0</v>
      </c>
      <c r="N33" s="7" t="s">
        <v>116</v>
      </c>
    </row>
    <row r="34" spans="1:14" ht="34" customHeight="1">
      <c r="A34" s="19">
        <v>20</v>
      </c>
      <c r="B34" s="7" t="s">
        <v>22</v>
      </c>
      <c r="C34" s="7" t="s">
        <v>96</v>
      </c>
      <c r="D34" s="7" t="s">
        <v>43</v>
      </c>
      <c r="E34" s="7" t="s">
        <v>90</v>
      </c>
      <c r="F34" s="7"/>
      <c r="G34" s="8">
        <v>15.81</v>
      </c>
      <c r="H34" s="8">
        <v>24.99</v>
      </c>
      <c r="I34" s="9">
        <f t="shared" si="0"/>
        <v>0.36734693877551017</v>
      </c>
      <c r="J34" s="7">
        <v>9</v>
      </c>
      <c r="K34" s="15">
        <v>0</v>
      </c>
      <c r="L34" s="7">
        <f t="shared" si="1"/>
        <v>0</v>
      </c>
      <c r="M34" s="10">
        <f t="shared" si="2"/>
        <v>0</v>
      </c>
      <c r="N34" s="7" t="s">
        <v>97</v>
      </c>
    </row>
    <row r="35" spans="1:14" ht="34" customHeight="1">
      <c r="A35" s="19">
        <v>21</v>
      </c>
      <c r="B35" s="7" t="s">
        <v>22</v>
      </c>
      <c r="C35" s="7" t="s">
        <v>98</v>
      </c>
      <c r="D35" s="7" t="s">
        <v>130</v>
      </c>
      <c r="E35" s="7" t="s">
        <v>99</v>
      </c>
      <c r="F35" s="7"/>
      <c r="G35" s="8">
        <v>12.21</v>
      </c>
      <c r="H35" s="8">
        <v>19.989999999999998</v>
      </c>
      <c r="I35" s="9">
        <f t="shared" si="0"/>
        <v>0.38919459729864925</v>
      </c>
      <c r="J35" s="7">
        <v>9</v>
      </c>
      <c r="K35" s="15">
        <v>0</v>
      </c>
      <c r="L35" s="7">
        <f t="shared" si="1"/>
        <v>0</v>
      </c>
      <c r="M35" s="10">
        <f t="shared" si="2"/>
        <v>0</v>
      </c>
      <c r="N35" s="7" t="s">
        <v>100</v>
      </c>
    </row>
    <row r="36" spans="1:14" ht="34" customHeight="1">
      <c r="A36" s="19">
        <v>22</v>
      </c>
      <c r="B36" s="7" t="s">
        <v>101</v>
      </c>
      <c r="C36" s="7" t="s">
        <v>102</v>
      </c>
      <c r="D36" s="7" t="s">
        <v>130</v>
      </c>
      <c r="E36" s="7" t="s">
        <v>90</v>
      </c>
      <c r="F36" s="7"/>
      <c r="G36" s="8">
        <v>19.43</v>
      </c>
      <c r="H36" s="8">
        <v>29.99</v>
      </c>
      <c r="I36" s="9">
        <f t="shared" si="0"/>
        <v>0.35211737245748581</v>
      </c>
      <c r="J36" s="7">
        <v>9</v>
      </c>
      <c r="K36" s="15">
        <v>0</v>
      </c>
      <c r="L36" s="7">
        <f t="shared" si="1"/>
        <v>0</v>
      </c>
      <c r="M36" s="10">
        <f t="shared" si="2"/>
        <v>0</v>
      </c>
      <c r="N36" s="7" t="s">
        <v>100</v>
      </c>
    </row>
    <row r="37" spans="1:14" ht="34" customHeight="1">
      <c r="A37" s="19">
        <v>23</v>
      </c>
      <c r="B37" s="7" t="s">
        <v>22</v>
      </c>
      <c r="C37" s="7" t="s">
        <v>117</v>
      </c>
      <c r="D37" s="7" t="s">
        <v>103</v>
      </c>
      <c r="E37" s="7" t="s">
        <v>104</v>
      </c>
      <c r="F37" s="7"/>
      <c r="G37" s="8">
        <v>15.26</v>
      </c>
      <c r="H37" s="8">
        <v>24.99</v>
      </c>
      <c r="I37" s="9">
        <f t="shared" si="0"/>
        <v>0.38935574229691872</v>
      </c>
      <c r="J37" s="7">
        <v>9</v>
      </c>
      <c r="K37" s="15">
        <v>0</v>
      </c>
      <c r="L37" s="7">
        <f t="shared" si="1"/>
        <v>0</v>
      </c>
      <c r="M37" s="10">
        <f t="shared" si="2"/>
        <v>0</v>
      </c>
      <c r="N37" s="7" t="s">
        <v>116</v>
      </c>
    </row>
    <row r="38" spans="1:14" ht="34" customHeight="1">
      <c r="A38" s="19">
        <v>24</v>
      </c>
      <c r="B38" s="7" t="s">
        <v>22</v>
      </c>
      <c r="C38" s="7" t="s">
        <v>118</v>
      </c>
      <c r="D38" s="7" t="s">
        <v>105</v>
      </c>
      <c r="E38" s="7" t="s">
        <v>106</v>
      </c>
      <c r="F38" s="7"/>
      <c r="G38" s="8">
        <v>19.43</v>
      </c>
      <c r="H38" s="8">
        <v>29.99</v>
      </c>
      <c r="I38" s="9">
        <f t="shared" si="0"/>
        <v>0.35211737245748581</v>
      </c>
      <c r="J38" s="7">
        <v>9</v>
      </c>
      <c r="K38" s="15">
        <v>0</v>
      </c>
      <c r="L38" s="7">
        <f t="shared" si="1"/>
        <v>0</v>
      </c>
      <c r="M38" s="10">
        <f t="shared" si="2"/>
        <v>0</v>
      </c>
      <c r="N38" s="7" t="s">
        <v>116</v>
      </c>
    </row>
    <row r="39" spans="1:14" ht="34" customHeight="1">
      <c r="A39" s="19">
        <v>25</v>
      </c>
      <c r="B39" s="7" t="s">
        <v>22</v>
      </c>
      <c r="C39" s="7" t="s">
        <v>119</v>
      </c>
      <c r="D39" s="7" t="s">
        <v>107</v>
      </c>
      <c r="E39" s="7" t="s">
        <v>28</v>
      </c>
      <c r="F39" s="7"/>
      <c r="G39" s="8">
        <v>18.87</v>
      </c>
      <c r="H39" s="8">
        <v>29.99</v>
      </c>
      <c r="I39" s="9">
        <f t="shared" si="0"/>
        <v>0.3707902634211403</v>
      </c>
      <c r="J39" s="7">
        <v>6</v>
      </c>
      <c r="K39" s="15">
        <v>0</v>
      </c>
      <c r="L39" s="7">
        <f t="shared" si="1"/>
        <v>0</v>
      </c>
      <c r="M39" s="10">
        <f t="shared" si="2"/>
        <v>0</v>
      </c>
      <c r="N39" s="7" t="s">
        <v>116</v>
      </c>
    </row>
    <row r="40" spans="1:14" ht="34" customHeight="1">
      <c r="A40" s="20">
        <v>26</v>
      </c>
      <c r="B40" s="11" t="s">
        <v>108</v>
      </c>
      <c r="C40" s="11" t="s">
        <v>109</v>
      </c>
      <c r="D40" s="11" t="s">
        <v>110</v>
      </c>
      <c r="E40" s="11" t="s">
        <v>111</v>
      </c>
      <c r="F40" s="11"/>
      <c r="G40" s="12">
        <v>6.94</v>
      </c>
      <c r="H40" s="12">
        <v>12.99</v>
      </c>
      <c r="I40" s="13">
        <f t="shared" si="0"/>
        <v>0.46574287913779827</v>
      </c>
      <c r="J40" s="11">
        <v>24</v>
      </c>
      <c r="K40" s="16">
        <v>0</v>
      </c>
      <c r="L40" s="11">
        <f t="shared" si="1"/>
        <v>0</v>
      </c>
      <c r="M40" s="14">
        <f t="shared" si="2"/>
        <v>0</v>
      </c>
      <c r="N40" s="11" t="s">
        <v>112</v>
      </c>
    </row>
    <row r="41" spans="1:14">
      <c r="M41" s="5"/>
    </row>
    <row r="42" spans="1:14" ht="16">
      <c r="A42" s="22" t="s">
        <v>113</v>
      </c>
      <c r="B42" s="22"/>
      <c r="C42" s="22"/>
      <c r="D42" s="22"/>
      <c r="E42" s="22"/>
      <c r="F42" s="22"/>
      <c r="G42" s="22"/>
      <c r="H42" s="22"/>
      <c r="I42" s="22"/>
      <c r="J42" s="22"/>
      <c r="K42" s="3">
        <f>SUM(K10:K40)</f>
        <v>0</v>
      </c>
      <c r="L42" s="3">
        <f>SUM(L10:L40)</f>
        <v>0</v>
      </c>
      <c r="M42" s="6">
        <f>SUM(M10:M40)</f>
        <v>0</v>
      </c>
      <c r="N42" s="4" t="s">
        <v>114</v>
      </c>
    </row>
  </sheetData>
  <mergeCells count="9">
    <mergeCell ref="A42:J42"/>
    <mergeCell ref="A1:N2"/>
    <mergeCell ref="A3:N3"/>
    <mergeCell ref="B5:E5"/>
    <mergeCell ref="B6:E6"/>
    <mergeCell ref="B7:E7"/>
    <mergeCell ref="H5:N5"/>
    <mergeCell ref="H6:N6"/>
    <mergeCell ref="H7:N7"/>
  </mergeCells>
  <conditionalFormatting sqref="I10:I4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FMA Order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Zito</cp:lastModifiedBy>
  <dcterms:modified xsi:type="dcterms:W3CDTF">2026-10-08T00:22:39Z</dcterms:modified>
</cp:coreProperties>
</file>